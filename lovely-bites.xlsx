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 &amp; Rules" sheetId="1" state="visible" r:id="rId3"/>
    <sheet name="Menus" sheetId="2" state="visible" r:id="rId4"/>
    <sheet name="Food Costs" sheetId="3" state="visible" r:id="rId5"/>
    <sheet name="Canapés &amp; Drinks" sheetId="4" state="visible" r:id="rId6"/>
    <sheet name="Equipment Hire" sheetId="5" state="visible" r:id="rId7"/>
    <sheet name="Travel by Paris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<sst xmlns="http://schemas.openxmlformats.org/spreadsheetml/2006/main" count="209" uniqueCount="133">
  <si>
    <t xml:space="preserve">Lovely Bites</t>
  </si>
  <si>
    <t xml:space="preserve">Fictional business, made up for planning and testing. Not a real company.</t>
  </si>
  <si>
    <t xml:space="preserve">Who we are</t>
  </si>
  <si>
    <t xml:space="preserve">•  Small independent event caterer based in St Saviour, Jersey, trading since 2014</t>
  </si>
  <si>
    <t xml:space="preserve">•  Run by a husband-and-wife team, a head chef and around 6 core staff, plus a pool of casual servers for busy weekends</t>
  </si>
  <si>
    <t xml:space="preserve">•  We cook from our own kitchen unit and buy local wherever we can: Jersey Royals, Jersey dairy, island-landed fish and shellfish, local growers for veg</t>
  </si>
  <si>
    <t xml:space="preserve">•  We cover the whole island, all 12 parishes</t>
  </si>
  <si>
    <t xml:space="preserve">Events we do</t>
  </si>
  <si>
    <t xml:space="preserve">•  Weddings: marquee, barn and hotel-venue receptions, from 40 to 250 guests. Our biggest line of work, May to September</t>
  </si>
  <si>
    <t xml:space="preserve">•  Corporate: finance and legal firm lunches, client evenings, staff parties and summer dos in St Helier</t>
  </si>
  <si>
    <t xml:space="preserve">•  Private parties: milestone birthdays, anniversaries and garden parties at home</t>
  </si>
  <si>
    <t xml:space="preserve">•  Christmas parties: busy November and December, mostly corporate</t>
  </si>
  <si>
    <t xml:space="preserve">•  Wakes and memorials: simple buffets at short notice</t>
  </si>
  <si>
    <t xml:space="preserve">•  Community and charity events: parish halls, fundraisers and sports club dinners</t>
  </si>
  <si>
    <t xml:space="preserve">Serving styles: seated (plated or sharing), and buffet.</t>
  </si>
  <si>
    <t xml:space="preserve">Menu tiers</t>
  </si>
  <si>
    <t xml:space="preserve">Classic: honest, generous food</t>
  </si>
  <si>
    <t xml:space="preserve">•  Good for: buffets, wakes, office parties, informal parties</t>
  </si>
  <si>
    <t xml:space="preserve">•  Example: slow-roast pork shoulder or chicken with herbs, Jersey Royals, seasonal salads, homemade quiche, bread board, one pudding</t>
  </si>
  <si>
    <t xml:space="preserve">•  2 courses (main + dessert), 2 choices for each course</t>
  </si>
  <si>
    <t xml:space="preserve">Signature: our most popular</t>
  </si>
  <si>
    <t xml:space="preserve">•  Good for: most weddings, client evenings, birthday dinners</t>
  </si>
  <si>
    <t xml:space="preserve">•  Example: island crab cakes or local goats' cheese tart, then rump of lamb or roast hake with Jersey Royals, then black butter tart or Jersey cream pannacotta</t>
  </si>
  <si>
    <t xml:space="preserve">•  3 courses, 3 choices for each course, plus bread and butter</t>
  </si>
  <si>
    <t xml:space="preserve">Prestige: the full works</t>
  </si>
  <si>
    <t xml:space="preserve">•  Good for: high-end weddings and top corporate dinners</t>
  </si>
  <si>
    <t xml:space="preserve">•  Example: Grouville Bay oysters and canapé-style amuse-bouche, then local lobster or seared scallops, then fillet of beef, then a dessert plate, then Jersey cheeseboard and coffee with petit fours</t>
  </si>
  <si>
    <t xml:space="preserve">•  4 courses plus amuse-bouche, with tailored menu planning and a tasting session included</t>
  </si>
  <si>
    <t xml:space="preserve">Per-head prices, add-ons, hire, travel and food costs are in the other tabs in this workbook.</t>
  </si>
  <si>
    <t xml:space="preserve">Pricing rules</t>
  </si>
  <si>
    <t xml:space="preserve">Staffing</t>
  </si>
  <si>
    <t xml:space="preserve">•  Servers: 1 per 15 guests for seated events, 1 per 25 guests for buffets</t>
  </si>
  <si>
    <t xml:space="preserve">•  Chefs: 1 per 40 guests, whatever the serving style</t>
  </si>
  <si>
    <t xml:space="preserve">•  Always round staff numbers up. For example, 41 guests seated = 3 servers and 2 chefs</t>
  </si>
  <si>
    <t xml:space="preserve">•  4-hour minimum for every member of staff, even if the event is shorter</t>
  </si>
  <si>
    <t xml:space="preserve">Staff costs and premium hours</t>
  </si>
  <si>
    <t xml:space="preserve">•  Staff cost = Jersey minimum wage plus employer's social security, at the current rates</t>
  </si>
  <si>
    <t xml:space="preserve">•  Time and a half for every hour worked on a Jersey bank holiday</t>
  </si>
  <si>
    <t xml:space="preserve">•  Time and a half for every hour worked after 23:00</t>
  </si>
  <si>
    <t xml:space="preserve">Tax</t>
  </si>
  <si>
    <t xml:space="preserve">•  GST is added at the current Jersey rate (currently 5%) on the final total</t>
  </si>
  <si>
    <t xml:space="preserve">Deposit and validity</t>
  </si>
  <si>
    <t xml:space="preserve">•  25% deposit to confirm the booking</t>
  </si>
  <si>
    <t xml:space="preserve">•  Quotes are valid for 30 days from the date issued</t>
  </si>
  <si>
    <t xml:space="preserve">Price floor</t>
  </si>
  <si>
    <t xml:space="preserve">•  Never quote below cost plus 25%, where cost includes food, staff and any other direct costs</t>
  </si>
  <si>
    <t xml:space="preserve">•  If a requested discount would take the price below that floor, we refuse the discount and explain why, showing the floor price. We can offer something else instead, such as a cheaper menu tier or a buffet instead of seated service</t>
  </si>
  <si>
    <t xml:space="preserve">Menu prices per head, with guest-number price breaks</t>
  </si>
  <si>
    <t xml:space="preserve">Blue = typed-in prices. Black = formulas. Food margin = price minus food cost only; staff, hire and travel still to come off.</t>
  </si>
  <si>
    <t xml:space="preserve">Tier</t>
  </si>
  <si>
    <t xml:space="preserve">Guests</t>
  </si>
  <si>
    <t xml:space="preserve">Price per head (£)</t>
  </si>
  <si>
    <t xml:space="preserve">Food cost per head (£)</t>
  </si>
  <si>
    <t xml:space="preserve">Food margin per head (£)</t>
  </si>
  <si>
    <t xml:space="preserve">Food margin %</t>
  </si>
  <si>
    <t xml:space="preserve">Notes</t>
  </si>
  <si>
    <t xml:space="preserve">Classic</t>
  </si>
  <si>
    <t xml:space="preserve">1–49</t>
  </si>
  <si>
    <t xml:space="preserve">2 courses</t>
  </si>
  <si>
    <t xml:space="preserve">50–99</t>
  </si>
  <si>
    <t xml:space="preserve">100–199</t>
  </si>
  <si>
    <t xml:space="preserve">200+</t>
  </si>
  <si>
    <t xml:space="preserve">Signature</t>
  </si>
  <si>
    <t xml:space="preserve">3 courses</t>
  </si>
  <si>
    <t xml:space="preserve">Prestige</t>
  </si>
  <si>
    <t xml:space="preserve">4 courses + amuse-bouche; tasting included</t>
  </si>
  <si>
    <t xml:space="preserve">Food cost per head (internal only)</t>
  </si>
  <si>
    <t xml:space="preserve">Blue = typed-in figures you can change. Ingredients and consumables only, not staff.</t>
  </si>
  <si>
    <t xml:space="preserve">Ingredients and consumables; internal only</t>
  </si>
  <si>
    <t xml:space="preserve">Canapé and drinks add-ons, and dietary surcharge</t>
  </si>
  <si>
    <t xml:space="preserve">Blue = typed-in prices.</t>
  </si>
  <si>
    <t xml:space="preserve">Type</t>
  </si>
  <si>
    <t xml:space="preserve">Item</t>
  </si>
  <si>
    <t xml:space="preserve">Charged</t>
  </si>
  <si>
    <t xml:space="preserve">Price (£)</t>
  </si>
  <si>
    <t xml:space="preserve">Minimum charge (£)</t>
  </si>
  <si>
    <t xml:space="preserve">Canapes</t>
  </si>
  <si>
    <t xml:space="preserve">Canapés (3 per guest)</t>
  </si>
  <si>
    <t xml:space="preserve">per head</t>
  </si>
  <si>
    <t xml:space="preserve">Chef's selection</t>
  </si>
  <si>
    <t xml:space="preserve">Canapés (5 per guest)</t>
  </si>
  <si>
    <t xml:space="preserve">Premium canapés (5 per guest)</t>
  </si>
  <si>
    <t xml:space="preserve">Includes oysters and local crab</t>
  </si>
  <si>
    <t xml:space="preserve">Drinks</t>
  </si>
  <si>
    <t xml:space="preserve">Arrival drink (Prosecco or soft)</t>
  </si>
  <si>
    <t xml:space="preserve">One glass per guest</t>
  </si>
  <si>
    <t xml:space="preserve">Wine with meal (half bottle)</t>
  </si>
  <si>
    <t xml:space="preserve">House red/white/rosé</t>
  </si>
  <si>
    <t xml:space="preserve">Toast drink (Prosecco)</t>
  </si>
  <si>
    <t xml:space="preserve">Soft drinks package</t>
  </si>
  <si>
    <t xml:space="preserve">Juices and sparkling water through the event</t>
  </si>
  <si>
    <t xml:space="preserve">Corkage (client's own wine)</t>
  </si>
  <si>
    <t xml:space="preserve">per bottle</t>
  </si>
  <si>
    <t xml:space="preserve">Includes glassware and service</t>
  </si>
  <si>
    <t xml:space="preserve">Dietary</t>
  </si>
  <si>
    <t xml:space="preserve">Dietary surcharge</t>
  </si>
  <si>
    <t xml:space="preserve">Per guest needing a separate dish (e.g. vegan; gluten-free; allergen-safe)</t>
  </si>
  <si>
    <t xml:space="preserve">Equipment hire</t>
  </si>
  <si>
    <t xml:space="preserve">Blue = typed-in prices. The minimum charge applies when quantity × price comes to less.</t>
  </si>
  <si>
    <t xml:space="preserve">Round table (seats 10)</t>
  </si>
  <si>
    <t xml:space="preserve">per item</t>
  </si>
  <si>
    <t xml:space="preserve">Trestle table (6ft)</t>
  </si>
  <si>
    <t xml:space="preserve">Banqueting chair</t>
  </si>
  <si>
    <t xml:space="preserve">Chair cover and sash</t>
  </si>
  <si>
    <t xml:space="preserve">Linen tablecloth</t>
  </si>
  <si>
    <t xml:space="preserve">Linen napkin</t>
  </si>
  <si>
    <t xml:space="preserve">Crockery and cutlery set</t>
  </si>
  <si>
    <t xml:space="preserve">Per place setting</t>
  </si>
  <si>
    <t xml:space="preserve">Glassware set (3 glasses)</t>
  </si>
  <si>
    <t xml:space="preserve">Mobile bar unit</t>
  </si>
  <si>
    <t xml:space="preserve">per event</t>
  </si>
  <si>
    <t xml:space="preserve">Field kitchen (marquee events)</t>
  </si>
  <si>
    <t xml:space="preserve">Ovens and hot cupboards</t>
  </si>
  <si>
    <t xml:space="preserve">Patio heater</t>
  </si>
  <si>
    <t xml:space="preserve">Includes gas</t>
  </si>
  <si>
    <t xml:space="preserve">Travel and setup charge by parish</t>
  </si>
  <si>
    <t xml:space="preserve">Blue = typed-in prices. One charge per event.</t>
  </si>
  <si>
    <t xml:space="preserve">Parish</t>
  </si>
  <si>
    <t xml:space="preserve">Charge per event (£)</t>
  </si>
  <si>
    <t xml:space="preserve">St Helier</t>
  </si>
  <si>
    <t xml:space="preserve">Travel and setup</t>
  </si>
  <si>
    <t xml:space="preserve">St Saviour</t>
  </si>
  <si>
    <t xml:space="preserve">Travel and setup; home parish</t>
  </si>
  <si>
    <t xml:space="preserve">St Clement</t>
  </si>
  <si>
    <t xml:space="preserve">Grouville</t>
  </si>
  <si>
    <t xml:space="preserve">St Martin</t>
  </si>
  <si>
    <t xml:space="preserve">Trinity</t>
  </si>
  <si>
    <t xml:space="preserve">St John</t>
  </si>
  <si>
    <t xml:space="preserve">St Lawrence</t>
  </si>
  <si>
    <t xml:space="preserve">St Peter</t>
  </si>
  <si>
    <t xml:space="preserve">St Mary</t>
  </si>
  <si>
    <t xml:space="preserve">St Brelade</t>
  </si>
  <si>
    <t xml:space="preserve">St Ouen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</si>
</sst>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;&quot;(£&quot;#,##0.0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8" customFormat="false" ht="15" hidden="false" customHeight="false" outlineLevel="0" collapsed="false">
      <c r="A8" s="4" t="s">
        <v>4</v>
      </c>
    </row>
    <row r="9" customFormat="false" ht="23.8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4" t="s">
        <v>6</v>
      </c>
    </row>
    <row r="12" customFormat="false" ht="15" hidden="false" customHeight="false" outlineLevel="0" collapsed="false">
      <c r="A12" s="3" t="s">
        <v>7</v>
      </c>
    </row>
    <row r="14" customFormat="false" ht="15" hidden="false" customHeight="false" outlineLevel="0" collapsed="false">
      <c r="A14" s="4" t="s">
        <v>8</v>
      </c>
    </row>
    <row r="15" customFormat="false" ht="15" hidden="false" customHeight="false" outlineLevel="0" collapsed="false">
      <c r="A15" s="4" t="s">
        <v>9</v>
      </c>
    </row>
    <row r="16" customFormat="false" ht="15" hidden="false" customHeight="false" outlineLevel="0" collapsed="false">
      <c r="A16" s="4" t="s">
        <v>10</v>
      </c>
    </row>
    <row r="17" customFormat="false" ht="15" hidden="false" customHeight="false" outlineLevel="0" collapsed="false">
      <c r="A17" s="4" t="s">
        <v>11</v>
      </c>
    </row>
    <row r="18" customFormat="false" ht="15" hidden="false" customHeight="false" outlineLevel="0" collapsed="false">
      <c r="A18" s="4" t="s">
        <v>12</v>
      </c>
    </row>
    <row r="19" customFormat="false" ht="15" hidden="false" customHeight="false" outlineLevel="0" collapsed="false">
      <c r="A19" s="4" t="s">
        <v>13</v>
      </c>
    </row>
    <row r="21" customFormat="false" ht="15" hidden="false" customHeight="false" outlineLevel="0" collapsed="false">
      <c r="A21" s="4" t="s">
        <v>14</v>
      </c>
    </row>
    <row r="23" customFormat="false" ht="15" hidden="false" customHeight="false" outlineLevel="0" collapsed="false">
      <c r="A23" s="3" t="s">
        <v>15</v>
      </c>
    </row>
    <row r="25" customFormat="false" ht="15" hidden="false" customHeight="false" outlineLevel="0" collapsed="false">
      <c r="A25" s="5" t="s">
        <v>16</v>
      </c>
    </row>
    <row r="26" customFormat="false" ht="15" hidden="false" customHeight="false" outlineLevel="0" collapsed="false">
      <c r="A26" s="4" t="s">
        <v>17</v>
      </c>
    </row>
    <row r="27" customFormat="false" ht="23.85" hidden="false" customHeight="false" outlineLevel="0" collapsed="false">
      <c r="A27" s="4" t="s">
        <v>18</v>
      </c>
    </row>
    <row r="28" customFormat="false" ht="15" hidden="false" customHeight="false" outlineLevel="0" collapsed="false">
      <c r="A28" s="4" t="s">
        <v>19</v>
      </c>
    </row>
    <row r="30" customFormat="false" ht="15" hidden="false" customHeight="false" outlineLevel="0" collapsed="false">
      <c r="A30" s="5" t="s">
        <v>20</v>
      </c>
    </row>
    <row r="31" customFormat="false" ht="15" hidden="false" customHeight="false" outlineLevel="0" collapsed="false">
      <c r="A31" s="4" t="s">
        <v>21</v>
      </c>
    </row>
    <row r="32" customFormat="false" ht="23.85" hidden="false" customHeight="false" outlineLevel="0" collapsed="false">
      <c r="A32" s="4" t="s">
        <v>22</v>
      </c>
    </row>
    <row r="33" customFormat="false" ht="15" hidden="false" customHeight="false" outlineLevel="0" collapsed="false">
      <c r="A33" s="4" t="s">
        <v>23</v>
      </c>
    </row>
    <row r="35" customFormat="false" ht="15" hidden="false" customHeight="false" outlineLevel="0" collapsed="false">
      <c r="A35" s="5" t="s">
        <v>24</v>
      </c>
    </row>
    <row r="36" customFormat="false" ht="15" hidden="false" customHeight="false" outlineLevel="0" collapsed="false">
      <c r="A36" s="4" t="s">
        <v>25</v>
      </c>
    </row>
    <row r="37" customFormat="false" ht="23.85" hidden="false" customHeight="false" outlineLevel="0" collapsed="false">
      <c r="A37" s="4" t="s">
        <v>26</v>
      </c>
    </row>
    <row r="38" customFormat="false" ht="15" hidden="false" customHeight="false" outlineLevel="0" collapsed="false">
      <c r="A38" s="4" t="s">
        <v>27</v>
      </c>
    </row>
    <row r="40" customFormat="false" ht="15" hidden="false" customHeight="false" outlineLevel="0" collapsed="false">
      <c r="A40" s="4" t="s">
        <v>28</v>
      </c>
    </row>
    <row r="42" customFormat="false" ht="15" hidden="false" customHeight="false" outlineLevel="0" collapsed="false">
      <c r="A42" s="3" t="s">
        <v>29</v>
      </c>
    </row>
    <row r="44" customFormat="false" ht="15" hidden="false" customHeight="false" outlineLevel="0" collapsed="false">
      <c r="A44" s="5" t="s">
        <v>30</v>
      </c>
    </row>
    <row r="45" customFormat="false" ht="15" hidden="false" customHeight="false" outlineLevel="0" collapsed="false">
      <c r="A45" s="4" t="s">
        <v>31</v>
      </c>
    </row>
    <row r="46" customFormat="false" ht="15" hidden="false" customHeight="false" outlineLevel="0" collapsed="false">
      <c r="A46" s="4" t="s">
        <v>32</v>
      </c>
    </row>
    <row r="47" customFormat="false" ht="15" hidden="false" customHeight="false" outlineLevel="0" collapsed="false">
      <c r="A47" s="4" t="s">
        <v>33</v>
      </c>
    </row>
    <row r="48" customFormat="false" ht="15" hidden="false" customHeight="false" outlineLevel="0" collapsed="false">
      <c r="A48" s="4" t="s">
        <v>34</v>
      </c>
    </row>
    <row r="50" customFormat="false" ht="15" hidden="false" customHeight="false" outlineLevel="0" collapsed="false">
      <c r="A50" s="5" t="s">
        <v>35</v>
      </c>
    </row>
    <row r="51" customFormat="false" ht="15" hidden="false" customHeight="false" outlineLevel="0" collapsed="false">
      <c r="A51" s="4" t="s">
        <v>36</v>
      </c>
    </row>
    <row r="52" customFormat="false" ht="15" hidden="false" customHeight="false" outlineLevel="0" collapsed="false">
      <c r="A52" s="4" t="s">
        <v>37</v>
      </c>
    </row>
    <row r="53" customFormat="false" ht="15" hidden="false" customHeight="false" outlineLevel="0" collapsed="false">
      <c r="A53" s="4" t="s">
        <v>38</v>
      </c>
    </row>
    <row r="55" customFormat="false" ht="15" hidden="false" customHeight="false" outlineLevel="0" collapsed="false">
      <c r="A55" s="5" t="s">
        <v>39</v>
      </c>
    </row>
    <row r="56" customFormat="false" ht="15" hidden="false" customHeight="false" outlineLevel="0" collapsed="false">
      <c r="A56" s="4" t="s">
        <v>40</v>
      </c>
    </row>
    <row r="58" customFormat="false" ht="15" hidden="false" customHeight="false" outlineLevel="0" collapsed="false">
      <c r="A58" s="5" t="s">
        <v>41</v>
      </c>
    </row>
    <row r="59" customFormat="false" ht="15" hidden="false" customHeight="false" outlineLevel="0" collapsed="false">
      <c r="A59" s="4" t="s">
        <v>42</v>
      </c>
    </row>
    <row r="60" customFormat="false" ht="15" hidden="false" customHeight="false" outlineLevel="0" collapsed="false">
      <c r="A60" s="4" t="s">
        <v>43</v>
      </c>
    </row>
    <row r="62" customFormat="false" ht="15" hidden="false" customHeight="false" outlineLevel="0" collapsed="false">
      <c r="A62" s="5" t="s">
        <v>44</v>
      </c>
    </row>
    <row r="63" customFormat="false" ht="15" hidden="false" customHeight="false" outlineLevel="0" collapsed="false">
      <c r="A63" s="4" t="s">
        <v>45</v>
      </c>
    </row>
    <row r="64" customFormat="false" ht="23.85" hidden="false" customHeight="false" outlineLevel="0" collapsed="false">
      <c r="A64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6" t="s">
        <v>47</v>
      </c>
    </row>
    <row r="2" customFormat="false" ht="15" hidden="false" customHeight="false" outlineLevel="0" collapsed="false">
      <c r="A2" s="7" t="s">
        <v>48</v>
      </c>
    </row>
    <row r="3" customFormat="false" ht="30" hidden="false" customHeight="tru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</row>
    <row r="4" customFormat="false" ht="15" hidden="false" customHeight="false" outlineLevel="0" collapsed="false">
      <c r="A4" s="9" t="s">
        <v>56</v>
      </c>
      <c r="B4" s="9" t="s">
        <v>57</v>
      </c>
      <c r="C4" s="10" t="n">
        <v>34</v>
      </c>
      <c r="D4" s="11" t="n">
        <f aca="false">'Food Costs'!$B$4</f>
        <v>11.5</v>
      </c>
      <c r="E4" s="12" t="n">
        <f aca="false">C4-D4</f>
        <v>22.5</v>
      </c>
      <c r="F4" s="13" t="n">
        <f aca="false">IF(C4=0,0,E4/C4)</f>
        <v>0.661764705882353</v>
      </c>
      <c r="G4" s="9" t="s">
        <v>58</v>
      </c>
    </row>
    <row r="5" customFormat="false" ht="15" hidden="false" customHeight="false" outlineLevel="0" collapsed="false">
      <c r="A5" s="9" t="s">
        <v>56</v>
      </c>
      <c r="B5" s="9" t="s">
        <v>59</v>
      </c>
      <c r="C5" s="10" t="n">
        <v>31</v>
      </c>
      <c r="D5" s="11" t="n">
        <f aca="false">'Food Costs'!$B$4</f>
        <v>11.5</v>
      </c>
      <c r="E5" s="12" t="n">
        <f aca="false">C5-D5</f>
        <v>19.5</v>
      </c>
      <c r="F5" s="13" t="n">
        <f aca="false">IF(C5=0,0,E5/C5)</f>
        <v>0.629032258064516</v>
      </c>
      <c r="G5" s="9" t="s">
        <v>58</v>
      </c>
    </row>
    <row r="6" customFormat="false" ht="15" hidden="false" customHeight="false" outlineLevel="0" collapsed="false">
      <c r="A6" s="9" t="s">
        <v>56</v>
      </c>
      <c r="B6" s="9" t="s">
        <v>60</v>
      </c>
      <c r="C6" s="10" t="n">
        <v>28.5</v>
      </c>
      <c r="D6" s="11" t="n">
        <f aca="false">'Food Costs'!$B$4</f>
        <v>11.5</v>
      </c>
      <c r="E6" s="12" t="n">
        <f aca="false">C6-D6</f>
        <v>17</v>
      </c>
      <c r="F6" s="13" t="n">
        <f aca="false">IF(C6=0,0,E6/C6)</f>
        <v>0.596491228070175</v>
      </c>
      <c r="G6" s="9" t="s">
        <v>58</v>
      </c>
    </row>
    <row r="7" customFormat="false" ht="15" hidden="false" customHeight="false" outlineLevel="0" collapsed="false">
      <c r="A7" s="9" t="s">
        <v>56</v>
      </c>
      <c r="B7" s="9" t="s">
        <v>61</v>
      </c>
      <c r="C7" s="10" t="n">
        <v>26.5</v>
      </c>
      <c r="D7" s="11" t="n">
        <f aca="false">'Food Costs'!$B$4</f>
        <v>11.5</v>
      </c>
      <c r="E7" s="12" t="n">
        <f aca="false">C7-D7</f>
        <v>15</v>
      </c>
      <c r="F7" s="13" t="n">
        <f aca="false">IF(C7=0,0,E7/C7)</f>
        <v>0.566037735849057</v>
      </c>
      <c r="G7" s="9" t="s">
        <v>58</v>
      </c>
    </row>
    <row r="8" customFormat="false" ht="15" hidden="false" customHeight="false" outlineLevel="0" collapsed="false">
      <c r="A8" s="9" t="s">
        <v>62</v>
      </c>
      <c r="B8" s="9" t="s">
        <v>57</v>
      </c>
      <c r="C8" s="10" t="n">
        <v>52</v>
      </c>
      <c r="D8" s="11" t="n">
        <f aca="false">'Food Costs'!$B$5</f>
        <v>17.75</v>
      </c>
      <c r="E8" s="12" t="n">
        <f aca="false">C8-D8</f>
        <v>34.25</v>
      </c>
      <c r="F8" s="13" t="n">
        <f aca="false">IF(C8=0,0,E8/C8)</f>
        <v>0.658653846153846</v>
      </c>
      <c r="G8" s="9" t="s">
        <v>63</v>
      </c>
    </row>
    <row r="9" customFormat="false" ht="15" hidden="false" customHeight="false" outlineLevel="0" collapsed="false">
      <c r="A9" s="9" t="s">
        <v>62</v>
      </c>
      <c r="B9" s="9" t="s">
        <v>59</v>
      </c>
      <c r="C9" s="10" t="n">
        <v>48</v>
      </c>
      <c r="D9" s="11" t="n">
        <f aca="false">'Food Costs'!$B$5</f>
        <v>17.75</v>
      </c>
      <c r="E9" s="12" t="n">
        <f aca="false">C9-D9</f>
        <v>30.25</v>
      </c>
      <c r="F9" s="13" t="n">
        <f aca="false">IF(C9=0,0,E9/C9)</f>
        <v>0.630208333333333</v>
      </c>
      <c r="G9" s="9" t="s">
        <v>63</v>
      </c>
    </row>
    <row r="10" customFormat="false" ht="15" hidden="false" customHeight="false" outlineLevel="0" collapsed="false">
      <c r="A10" s="9" t="s">
        <v>62</v>
      </c>
      <c r="B10" s="9" t="s">
        <v>60</v>
      </c>
      <c r="C10" s="10" t="n">
        <v>44.5</v>
      </c>
      <c r="D10" s="11" t="n">
        <f aca="false">'Food Costs'!$B$5</f>
        <v>17.75</v>
      </c>
      <c r="E10" s="12" t="n">
        <f aca="false">C10-D10</f>
        <v>26.75</v>
      </c>
      <c r="F10" s="13" t="n">
        <f aca="false">IF(C10=0,0,E10/C10)</f>
        <v>0.601123595505618</v>
      </c>
      <c r="G10" s="9" t="s">
        <v>63</v>
      </c>
    </row>
    <row r="11" customFormat="false" ht="15" hidden="false" customHeight="false" outlineLevel="0" collapsed="false">
      <c r="A11" s="9" t="s">
        <v>62</v>
      </c>
      <c r="B11" s="9" t="s">
        <v>61</v>
      </c>
      <c r="C11" s="10" t="n">
        <v>41.5</v>
      </c>
      <c r="D11" s="11" t="n">
        <f aca="false">'Food Costs'!$B$5</f>
        <v>17.75</v>
      </c>
      <c r="E11" s="12" t="n">
        <f aca="false">C11-D11</f>
        <v>23.75</v>
      </c>
      <c r="F11" s="13" t="n">
        <f aca="false">IF(C11=0,0,E11/C11)</f>
        <v>0.572289156626506</v>
      </c>
      <c r="G11" s="9" t="s">
        <v>63</v>
      </c>
    </row>
    <row r="12" customFormat="false" ht="15" hidden="false" customHeight="false" outlineLevel="0" collapsed="false">
      <c r="A12" s="9" t="s">
        <v>64</v>
      </c>
      <c r="B12" s="9" t="s">
        <v>57</v>
      </c>
      <c r="C12" s="10" t="n">
        <v>82</v>
      </c>
      <c r="D12" s="11" t="n">
        <f aca="false">'Food Costs'!$B$6</f>
        <v>29</v>
      </c>
      <c r="E12" s="12" t="n">
        <f aca="false">C12-D12</f>
        <v>53</v>
      </c>
      <c r="F12" s="13" t="n">
        <f aca="false">IF(C12=0,0,E12/C12)</f>
        <v>0.646341463414634</v>
      </c>
      <c r="G12" s="9" t="s">
        <v>65</v>
      </c>
    </row>
    <row r="13" customFormat="false" ht="15" hidden="false" customHeight="false" outlineLevel="0" collapsed="false">
      <c r="A13" s="9" t="s">
        <v>64</v>
      </c>
      <c r="B13" s="9" t="s">
        <v>59</v>
      </c>
      <c r="C13" s="10" t="n">
        <v>76</v>
      </c>
      <c r="D13" s="11" t="n">
        <f aca="false">'Food Costs'!$B$6</f>
        <v>29</v>
      </c>
      <c r="E13" s="12" t="n">
        <f aca="false">C13-D13</f>
        <v>47</v>
      </c>
      <c r="F13" s="13" t="n">
        <f aca="false">IF(C13=0,0,E13/C13)</f>
        <v>0.618421052631579</v>
      </c>
      <c r="G13" s="9" t="s">
        <v>65</v>
      </c>
    </row>
    <row r="14" customFormat="false" ht="15" hidden="false" customHeight="false" outlineLevel="0" collapsed="false">
      <c r="A14" s="9" t="s">
        <v>64</v>
      </c>
      <c r="B14" s="9" t="s">
        <v>60</v>
      </c>
      <c r="C14" s="10" t="n">
        <v>71</v>
      </c>
      <c r="D14" s="11" t="n">
        <f aca="false">'Food Costs'!$B$6</f>
        <v>29</v>
      </c>
      <c r="E14" s="12" t="n">
        <f aca="false">C14-D14</f>
        <v>42</v>
      </c>
      <c r="F14" s="13" t="n">
        <f aca="false">IF(C14=0,0,E14/C14)</f>
        <v>0.591549295774648</v>
      </c>
      <c r="G14" s="9" t="s">
        <v>65</v>
      </c>
    </row>
    <row r="15" customFormat="false" ht="15" hidden="false" customHeight="false" outlineLevel="0" collapsed="false">
      <c r="A15" s="9" t="s">
        <v>64</v>
      </c>
      <c r="B15" s="9" t="s">
        <v>61</v>
      </c>
      <c r="C15" s="10" t="n">
        <v>67</v>
      </c>
      <c r="D15" s="11" t="n">
        <f aca="false">'Food Costs'!$B$6</f>
        <v>29</v>
      </c>
      <c r="E15" s="12" t="n">
        <f aca="false">C15-D15</f>
        <v>38</v>
      </c>
      <c r="F15" s="13" t="n">
        <f aca="false">IF(C15=0,0,E15/C15)</f>
        <v>0.567164179104478</v>
      </c>
      <c r="G15" s="9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6" t="s">
        <v>66</v>
      </c>
    </row>
    <row r="2" customFormat="false" ht="15" hidden="false" customHeight="false" outlineLevel="0" collapsed="false">
      <c r="A2" s="7" t="s">
        <v>67</v>
      </c>
    </row>
    <row r="3" customFormat="false" ht="30" hidden="false" customHeight="true" outlineLevel="0" collapsed="false">
      <c r="A3" s="8" t="s">
        <v>49</v>
      </c>
      <c r="B3" s="8" t="s">
        <v>52</v>
      </c>
      <c r="C3" s="8" t="s">
        <v>55</v>
      </c>
    </row>
    <row r="4" customFormat="false" ht="15" hidden="false" customHeight="false" outlineLevel="0" collapsed="false">
      <c r="A4" s="9" t="s">
        <v>56</v>
      </c>
      <c r="B4" s="10" t="n">
        <v>11.5</v>
      </c>
      <c r="C4" s="9" t="s">
        <v>68</v>
      </c>
    </row>
    <row r="5" customFormat="false" ht="15" hidden="false" customHeight="false" outlineLevel="0" collapsed="false">
      <c r="A5" s="9" t="s">
        <v>62</v>
      </c>
      <c r="B5" s="10" t="n">
        <v>17.75</v>
      </c>
      <c r="C5" s="9" t="s">
        <v>68</v>
      </c>
    </row>
    <row r="6" customFormat="false" ht="15" hidden="false" customHeight="false" outlineLevel="0" collapsed="false">
      <c r="A6" s="9" t="s">
        <v>64</v>
      </c>
      <c r="B6" s="10" t="n">
        <v>29</v>
      </c>
      <c r="C6" s="9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">
        <v>70</v>
      </c>
    </row>
    <row r="3" customFormat="false" ht="30" hidden="false" customHeight="true" outlineLevel="0" collapsed="false">
      <c r="A3" s="8" t="s">
        <v>71</v>
      </c>
      <c r="B3" s="8" t="s">
        <v>72</v>
      </c>
      <c r="C3" s="8" t="s">
        <v>73</v>
      </c>
      <c r="D3" s="8" t="s">
        <v>74</v>
      </c>
      <c r="E3" s="8" t="s">
        <v>75</v>
      </c>
      <c r="F3" s="8" t="s">
        <v>55</v>
      </c>
    </row>
    <row r="4" customFormat="false" ht="15" hidden="false" customHeight="false" outlineLevel="0" collapsed="false">
      <c r="A4" s="9" t="s">
        <v>76</v>
      </c>
      <c r="B4" s="9" t="s">
        <v>77</v>
      </c>
      <c r="C4" s="9" t="s">
        <v>78</v>
      </c>
      <c r="D4" s="10" t="n">
        <v>7.5</v>
      </c>
      <c r="E4" s="10" t="n">
        <v>150</v>
      </c>
      <c r="F4" s="9" t="s">
        <v>79</v>
      </c>
    </row>
    <row r="5" customFormat="false" ht="15" hidden="false" customHeight="false" outlineLevel="0" collapsed="false">
      <c r="A5" s="9" t="s">
        <v>76</v>
      </c>
      <c r="B5" s="9" t="s">
        <v>80</v>
      </c>
      <c r="C5" s="9" t="s">
        <v>78</v>
      </c>
      <c r="D5" s="10" t="n">
        <v>11.5</v>
      </c>
      <c r="E5" s="10" t="n">
        <v>200</v>
      </c>
      <c r="F5" s="9" t="s">
        <v>79</v>
      </c>
    </row>
    <row r="6" customFormat="false" ht="15" hidden="false" customHeight="false" outlineLevel="0" collapsed="false">
      <c r="A6" s="9" t="s">
        <v>76</v>
      </c>
      <c r="B6" s="9" t="s">
        <v>81</v>
      </c>
      <c r="C6" s="9" t="s">
        <v>78</v>
      </c>
      <c r="D6" s="10" t="n">
        <v>16</v>
      </c>
      <c r="E6" s="10" t="n">
        <v>300</v>
      </c>
      <c r="F6" s="9" t="s">
        <v>82</v>
      </c>
    </row>
    <row r="7" customFormat="false" ht="15" hidden="false" customHeight="false" outlineLevel="0" collapsed="false">
      <c r="A7" s="9" t="s">
        <v>83</v>
      </c>
      <c r="B7" s="9" t="s">
        <v>84</v>
      </c>
      <c r="C7" s="9" t="s">
        <v>78</v>
      </c>
      <c r="D7" s="10" t="n">
        <v>6.5</v>
      </c>
      <c r="E7" s="10"/>
      <c r="F7" s="9" t="s">
        <v>85</v>
      </c>
    </row>
    <row r="8" customFormat="false" ht="15" hidden="false" customHeight="false" outlineLevel="0" collapsed="false">
      <c r="A8" s="9" t="s">
        <v>83</v>
      </c>
      <c r="B8" s="9" t="s">
        <v>86</v>
      </c>
      <c r="C8" s="9" t="s">
        <v>78</v>
      </c>
      <c r="D8" s="10" t="n">
        <v>14</v>
      </c>
      <c r="E8" s="10"/>
      <c r="F8" s="9" t="s">
        <v>87</v>
      </c>
    </row>
    <row r="9" customFormat="false" ht="15" hidden="false" customHeight="false" outlineLevel="0" collapsed="false">
      <c r="A9" s="9" t="s">
        <v>83</v>
      </c>
      <c r="B9" s="9" t="s">
        <v>88</v>
      </c>
      <c r="C9" s="9" t="s">
        <v>78</v>
      </c>
      <c r="D9" s="10" t="n">
        <v>5.5</v>
      </c>
      <c r="E9" s="10"/>
      <c r="F9" s="9" t="s">
        <v>85</v>
      </c>
    </row>
    <row r="10" customFormat="false" ht="15" hidden="false" customHeight="false" outlineLevel="0" collapsed="false">
      <c r="A10" s="9" t="s">
        <v>83</v>
      </c>
      <c r="B10" s="9" t="s">
        <v>89</v>
      </c>
      <c r="C10" s="9" t="s">
        <v>78</v>
      </c>
      <c r="D10" s="10" t="n">
        <v>4.5</v>
      </c>
      <c r="E10" s="10"/>
      <c r="F10" s="9" t="s">
        <v>90</v>
      </c>
    </row>
    <row r="11" customFormat="false" ht="15" hidden="false" customHeight="false" outlineLevel="0" collapsed="false">
      <c r="A11" s="9" t="s">
        <v>83</v>
      </c>
      <c r="B11" s="9" t="s">
        <v>91</v>
      </c>
      <c r="C11" s="9" t="s">
        <v>92</v>
      </c>
      <c r="D11" s="10" t="n">
        <v>8</v>
      </c>
      <c r="E11" s="10"/>
      <c r="F11" s="9" t="s">
        <v>93</v>
      </c>
    </row>
    <row r="12" customFormat="false" ht="15" hidden="false" customHeight="false" outlineLevel="0" collapsed="false">
      <c r="A12" s="9" t="s">
        <v>94</v>
      </c>
      <c r="B12" s="9" t="s">
        <v>95</v>
      </c>
      <c r="C12" s="9" t="s">
        <v>78</v>
      </c>
      <c r="D12" s="10" t="n">
        <v>4</v>
      </c>
      <c r="E12" s="10"/>
      <c r="F12" s="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6" t="s">
        <v>97</v>
      </c>
    </row>
    <row r="2" customFormat="false" ht="15" hidden="false" customHeight="false" outlineLevel="0" collapsed="false">
      <c r="A2" s="7" t="s">
        <v>98</v>
      </c>
    </row>
    <row r="3" customFormat="false" ht="30" hidden="false" customHeight="true" outlineLevel="0" collapsed="false">
      <c r="A3" s="8" t="s">
        <v>72</v>
      </c>
      <c r="B3" s="8" t="s">
        <v>73</v>
      </c>
      <c r="C3" s="8" t="s">
        <v>74</v>
      </c>
      <c r="D3" s="8" t="s">
        <v>75</v>
      </c>
      <c r="E3" s="8" t="s">
        <v>55</v>
      </c>
    </row>
    <row r="4" customFormat="false" ht="15" hidden="false" customHeight="false" outlineLevel="0" collapsed="false">
      <c r="A4" s="9" t="s">
        <v>99</v>
      </c>
      <c r="B4" s="9" t="s">
        <v>100</v>
      </c>
      <c r="C4" s="10" t="n">
        <v>14</v>
      </c>
      <c r="D4" s="10" t="n">
        <v>70</v>
      </c>
      <c r="E4" s="9"/>
    </row>
    <row r="5" customFormat="false" ht="15" hidden="false" customHeight="false" outlineLevel="0" collapsed="false">
      <c r="A5" s="9" t="s">
        <v>101</v>
      </c>
      <c r="B5" s="9" t="s">
        <v>100</v>
      </c>
      <c r="C5" s="10" t="n">
        <v>9</v>
      </c>
      <c r="D5" s="10" t="n">
        <v>45</v>
      </c>
      <c r="E5" s="9"/>
    </row>
    <row r="6" customFormat="false" ht="15" hidden="false" customHeight="false" outlineLevel="0" collapsed="false">
      <c r="A6" s="9" t="s">
        <v>102</v>
      </c>
      <c r="B6" s="9" t="s">
        <v>100</v>
      </c>
      <c r="C6" s="10" t="n">
        <v>3.5</v>
      </c>
      <c r="D6" s="10" t="n">
        <v>70</v>
      </c>
      <c r="E6" s="9"/>
    </row>
    <row r="7" customFormat="false" ht="15" hidden="false" customHeight="false" outlineLevel="0" collapsed="false">
      <c r="A7" s="9" t="s">
        <v>103</v>
      </c>
      <c r="B7" s="9" t="s">
        <v>100</v>
      </c>
      <c r="C7" s="10" t="n">
        <v>3</v>
      </c>
      <c r="D7" s="10" t="n">
        <v>60</v>
      </c>
      <c r="E7" s="9"/>
    </row>
    <row r="8" customFormat="false" ht="15" hidden="false" customHeight="false" outlineLevel="0" collapsed="false">
      <c r="A8" s="9" t="s">
        <v>104</v>
      </c>
      <c r="B8" s="9" t="s">
        <v>100</v>
      </c>
      <c r="C8" s="10" t="n">
        <v>8.5</v>
      </c>
      <c r="D8" s="10" t="n">
        <v>40</v>
      </c>
      <c r="E8" s="9"/>
    </row>
    <row r="9" customFormat="false" ht="15" hidden="false" customHeight="false" outlineLevel="0" collapsed="false">
      <c r="A9" s="9" t="s">
        <v>105</v>
      </c>
      <c r="B9" s="9" t="s">
        <v>100</v>
      </c>
      <c r="C9" s="10" t="n">
        <v>0.85</v>
      </c>
      <c r="D9" s="10" t="n">
        <v>25</v>
      </c>
      <c r="E9" s="9"/>
    </row>
    <row r="10" customFormat="false" ht="15" hidden="false" customHeight="false" outlineLevel="0" collapsed="false">
      <c r="A10" s="9" t="s">
        <v>106</v>
      </c>
      <c r="B10" s="9" t="s">
        <v>78</v>
      </c>
      <c r="C10" s="10" t="n">
        <v>3.25</v>
      </c>
      <c r="D10" s="10" t="n">
        <v>60</v>
      </c>
      <c r="E10" s="9" t="s">
        <v>107</v>
      </c>
    </row>
    <row r="11" customFormat="false" ht="15" hidden="false" customHeight="false" outlineLevel="0" collapsed="false">
      <c r="A11" s="9" t="s">
        <v>108</v>
      </c>
      <c r="B11" s="9" t="s">
        <v>78</v>
      </c>
      <c r="C11" s="10" t="n">
        <v>1.8</v>
      </c>
      <c r="D11" s="10" t="n">
        <v>40</v>
      </c>
      <c r="E11" s="9" t="s">
        <v>107</v>
      </c>
    </row>
    <row r="12" customFormat="false" ht="15" hidden="false" customHeight="false" outlineLevel="0" collapsed="false">
      <c r="A12" s="9" t="s">
        <v>109</v>
      </c>
      <c r="B12" s="9" t="s">
        <v>110</v>
      </c>
      <c r="C12" s="10" t="n">
        <v>180</v>
      </c>
      <c r="D12" s="10" t="n">
        <v>180</v>
      </c>
      <c r="E12" s="9"/>
    </row>
    <row r="13" customFormat="false" ht="15" hidden="false" customHeight="false" outlineLevel="0" collapsed="false">
      <c r="A13" s="9" t="s">
        <v>111</v>
      </c>
      <c r="B13" s="9" t="s">
        <v>110</v>
      </c>
      <c r="C13" s="10" t="n">
        <v>450</v>
      </c>
      <c r="D13" s="10" t="n">
        <v>450</v>
      </c>
      <c r="E13" s="9" t="s">
        <v>112</v>
      </c>
    </row>
    <row r="14" customFormat="false" ht="15" hidden="false" customHeight="false" outlineLevel="0" collapsed="false">
      <c r="A14" s="9" t="s">
        <v>113</v>
      </c>
      <c r="B14" s="9" t="s">
        <v>100</v>
      </c>
      <c r="C14" s="10" t="n">
        <v>45</v>
      </c>
      <c r="D14" s="10" t="n">
        <v>90</v>
      </c>
      <c r="E14" s="9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6" t="s">
        <v>115</v>
      </c>
    </row>
    <row r="2" customFormat="false" ht="15" hidden="false" customHeight="false" outlineLevel="0" collapsed="false">
      <c r="A2" s="7" t="s">
        <v>116</v>
      </c>
    </row>
    <row r="3" customFormat="false" ht="30" hidden="false" customHeight="true" outlineLevel="0" collapsed="false">
      <c r="A3" s="8" t="s">
        <v>117</v>
      </c>
      <c r="B3" s="8" t="s">
        <v>118</v>
      </c>
      <c r="C3" s="8" t="s">
        <v>55</v>
      </c>
    </row>
    <row r="4" customFormat="false" ht="15" hidden="false" customHeight="false" outlineLevel="0" collapsed="false">
      <c r="A4" s="9" t="s">
        <v>119</v>
      </c>
      <c r="B4" s="10" t="n">
        <v>45</v>
      </c>
      <c r="C4" s="9" t="s">
        <v>120</v>
      </c>
    </row>
    <row r="5" customFormat="false" ht="15" hidden="false" customHeight="false" outlineLevel="0" collapsed="false">
      <c r="A5" s="9" t="s">
        <v>121</v>
      </c>
      <c r="B5" s="10" t="n">
        <v>35</v>
      </c>
      <c r="C5" s="9" t="s">
        <v>122</v>
      </c>
    </row>
    <row r="6" customFormat="false" ht="15" hidden="false" customHeight="false" outlineLevel="0" collapsed="false">
      <c r="A6" s="9" t="s">
        <v>123</v>
      </c>
      <c r="B6" s="10" t="n">
        <v>50</v>
      </c>
      <c r="C6" s="9" t="s">
        <v>120</v>
      </c>
    </row>
    <row r="7" customFormat="false" ht="15" hidden="false" customHeight="false" outlineLevel="0" collapsed="false">
      <c r="A7" s="9" t="s">
        <v>124</v>
      </c>
      <c r="B7" s="10" t="n">
        <v>55</v>
      </c>
      <c r="C7" s="9" t="s">
        <v>120</v>
      </c>
    </row>
    <row r="8" customFormat="false" ht="15" hidden="false" customHeight="false" outlineLevel="0" collapsed="false">
      <c r="A8" s="9" t="s">
        <v>125</v>
      </c>
      <c r="B8" s="10" t="n">
        <v>60</v>
      </c>
      <c r="C8" s="9" t="s">
        <v>120</v>
      </c>
    </row>
    <row r="9" customFormat="false" ht="15" hidden="false" customHeight="false" outlineLevel="0" collapsed="false">
      <c r="A9" s="9" t="s">
        <v>126</v>
      </c>
      <c r="B9" s="10" t="n">
        <v>60</v>
      </c>
      <c r="C9" s="9" t="s">
        <v>120</v>
      </c>
    </row>
    <row r="10" customFormat="false" ht="15" hidden="false" customHeight="false" outlineLevel="0" collapsed="false">
      <c r="A10" s="9" t="s">
        <v>127</v>
      </c>
      <c r="B10" s="10" t="n">
        <v>70</v>
      </c>
      <c r="C10" s="9" t="s">
        <v>120</v>
      </c>
    </row>
    <row r="11" customFormat="false" ht="15" hidden="false" customHeight="false" outlineLevel="0" collapsed="false">
      <c r="A11" s="9" t="s">
        <v>128</v>
      </c>
      <c r="B11" s="10" t="n">
        <v>60</v>
      </c>
      <c r="C11" s="9" t="s">
        <v>120</v>
      </c>
    </row>
    <row r="12" customFormat="false" ht="15" hidden="false" customHeight="false" outlineLevel="0" collapsed="false">
      <c r="A12" s="9" t="s">
        <v>129</v>
      </c>
      <c r="B12" s="10" t="n">
        <v>70</v>
      </c>
      <c r="C12" s="9" t="s">
        <v>120</v>
      </c>
    </row>
    <row r="13" customFormat="false" ht="15" hidden="false" customHeight="false" outlineLevel="0" collapsed="false">
      <c r="A13" s="9" t="s">
        <v>130</v>
      </c>
      <c r="B13" s="10" t="n">
        <v>75</v>
      </c>
      <c r="C13" s="9" t="s">
        <v>120</v>
      </c>
    </row>
    <row r="14" customFormat="false" ht="15" hidden="false" customHeight="false" outlineLevel="0" collapsed="false">
      <c r="A14" s="9" t="s">
        <v>131</v>
      </c>
      <c r="B14" s="10" t="n">
        <v>75</v>
      </c>
      <c r="C14" s="9" t="s">
        <v>120</v>
      </c>
    </row>
    <row r="15" customFormat="false" ht="15" hidden="false" customHeight="false" outlineLevel="0" collapsed="false">
      <c r="A15" s="9" t="s">
        <v>132</v>
      </c>
      <c r="B15" s="10" t="n">
        <v>85</v>
      </c>
      <c r="C15" s="9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2026-10-06T09:00:43Z</dcterms:created>
  <dc:creator>openpyxl</dc:creator>
  <dc:description/>
  <dc:language>en-US</dc:language>
  <cp:lastModifiedBy/>
  <dcterms:modified xsi:type="dcterms:W3CDTF">2026-10-06T09:00:43Z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